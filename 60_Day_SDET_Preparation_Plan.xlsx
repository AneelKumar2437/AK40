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eel\Downloads\"/>
    </mc:Choice>
  </mc:AlternateContent>
  <xr:revisionPtr revIDLastSave="0" documentId="13_ncr:1_{81660A96-3361-4ED9-8463-70E30EAC13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60 Day SDET Plan" sheetId="1" r:id="rId1"/>
  </sheets>
  <definedNames>
    <definedName name="_xlnm._FilterDatabase" localSheetId="0" hidden="1">'60 Day SDET Plan'!$A$1:$J$1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1" l="1"/>
  <c r="J10" i="1"/>
  <c r="J8" i="1"/>
  <c r="J7" i="1"/>
  <c r="J6" i="1"/>
  <c r="J5" i="1"/>
  <c r="J4" i="1"/>
  <c r="J20" i="1"/>
  <c r="J18" i="1"/>
  <c r="J17" i="1"/>
  <c r="J16" i="1"/>
  <c r="J15" i="1"/>
  <c r="J14" i="1"/>
  <c r="J13" i="1"/>
  <c r="J12" i="1"/>
  <c r="J11" i="1"/>
  <c r="J19" i="1"/>
</calcChain>
</file>

<file path=xl/sharedStrings.xml><?xml version="1.0" encoding="utf-8"?>
<sst xmlns="http://schemas.openxmlformats.org/spreadsheetml/2006/main" count="204" uniqueCount="142">
  <si>
    <t>Day</t>
  </si>
  <si>
    <t>Focus Area</t>
  </si>
  <si>
    <t>Topics / Tasks</t>
  </si>
  <si>
    <t>Outcome</t>
  </si>
  <si>
    <t>Core Java</t>
  </si>
  <si>
    <t>JDK, JRE, JVM, Variables, Data Types</t>
  </si>
  <si>
    <t>Understand Java basics</t>
  </si>
  <si>
    <t>Operators, If-Else, Switch</t>
  </si>
  <si>
    <t>Control flow mastery</t>
  </si>
  <si>
    <t>Loops, Basic programs</t>
  </si>
  <si>
    <t>Logic building</t>
  </si>
  <si>
    <t>Arrays 1D &amp; 2D, Programs</t>
  </si>
  <si>
    <t>Array handling</t>
  </si>
  <si>
    <t>Strings, String programs</t>
  </si>
  <si>
    <t>String manipulation</t>
  </si>
  <si>
    <t>OOP – Encapsulation &amp; Inheritance</t>
  </si>
  <si>
    <t>OOP foundation</t>
  </si>
  <si>
    <t>OOP – Polymorphism &amp; Abstraction</t>
  </si>
  <si>
    <t>OOP clarity</t>
  </si>
  <si>
    <t>Collections – List &amp; Set</t>
  </si>
  <si>
    <t>Collections usage</t>
  </si>
  <si>
    <t>Collections – Map, Programs</t>
  </si>
  <si>
    <t>Data storage skills</t>
  </si>
  <si>
    <t>Exception Handling</t>
  </si>
  <si>
    <t>Error handling</t>
  </si>
  <si>
    <t>Java 8 – Lambda, Streams</t>
  </si>
  <si>
    <t>Modern Java</t>
  </si>
  <si>
    <t>File Handling</t>
  </si>
  <si>
    <t>File operations</t>
  </si>
  <si>
    <t>Multithreading</t>
  </si>
  <si>
    <t>Concurrency basics</t>
  </si>
  <si>
    <t>Practice 25 Programs</t>
  </si>
  <si>
    <t>Hands-on confidence</t>
  </si>
  <si>
    <t>Practice remaining 25 Programs</t>
  </si>
  <si>
    <t>50+ programs done</t>
  </si>
  <si>
    <t>Gap Day</t>
  </si>
  <si>
    <t>Revision &amp; Rest</t>
  </si>
  <si>
    <t>Avoid burnout</t>
  </si>
  <si>
    <t>Selenium</t>
  </si>
  <si>
    <t>Selenium Architecture, Setup</t>
  </si>
  <si>
    <t>Tool understanding</t>
  </si>
  <si>
    <t>Locators &amp; XPath</t>
  </si>
  <si>
    <t>Element identification</t>
  </si>
  <si>
    <t>WebElement methods</t>
  </si>
  <si>
    <t>Element interaction</t>
  </si>
  <si>
    <t>Wait strategies</t>
  </si>
  <si>
    <t>Synchronization</t>
  </si>
  <si>
    <t>Frames, Alerts, Windows</t>
  </si>
  <si>
    <t>Advanced handling</t>
  </si>
  <si>
    <t>Actions, Dropdowns</t>
  </si>
  <si>
    <t>User actions</t>
  </si>
  <si>
    <t>TestNG</t>
  </si>
  <si>
    <t>Annotations &amp; Assertions</t>
  </si>
  <si>
    <t>Test structure</t>
  </si>
  <si>
    <t>testng.xml, Parallel execution</t>
  </si>
  <si>
    <t>Suite execution</t>
  </si>
  <si>
    <t>BDD</t>
  </si>
  <si>
    <t>BDD concepts &amp; Gherkin</t>
  </si>
  <si>
    <t>BDD understanding</t>
  </si>
  <si>
    <t>Feature files &amp; Step definitions</t>
  </si>
  <si>
    <t>BDD implementation</t>
  </si>
  <si>
    <t>Cucumber Hooks &amp; Tags</t>
  </si>
  <si>
    <t>Execution control</t>
  </si>
  <si>
    <t>Framework</t>
  </si>
  <si>
    <t>Maven + POM setup</t>
  </si>
  <si>
    <t>Framework base</t>
  </si>
  <si>
    <t>Page Object Model</t>
  </si>
  <si>
    <t>Reusable design</t>
  </si>
  <si>
    <t>Config &amp; Base classes</t>
  </si>
  <si>
    <t>Framework stability</t>
  </si>
  <si>
    <t>Reporting (Extent)</t>
  </si>
  <si>
    <t>Test reports</t>
  </si>
  <si>
    <t>Run complete Selenium project</t>
  </si>
  <si>
    <t>End-to-end confidence</t>
  </si>
  <si>
    <t>Light revision</t>
  </si>
  <si>
    <t>Refresh mind</t>
  </si>
  <si>
    <t>API</t>
  </si>
  <si>
    <t>API concepts &amp; HTTP methods</t>
  </si>
  <si>
    <t>API fundamentals</t>
  </si>
  <si>
    <t>Postman</t>
  </si>
  <si>
    <t>Requests, Headers, Params</t>
  </si>
  <si>
    <t>Manual API testing</t>
  </si>
  <si>
    <t>Assertions &amp; Auth</t>
  </si>
  <si>
    <t>API validation</t>
  </si>
  <si>
    <t>Rest Assured</t>
  </si>
  <si>
    <t>GET &amp; POST APIs</t>
  </si>
  <si>
    <t>Automation basics</t>
  </si>
  <si>
    <t>PUT &amp; DELETE APIs</t>
  </si>
  <si>
    <t>CRUD operations</t>
  </si>
  <si>
    <t>JSONPath, Assertions</t>
  </si>
  <si>
    <t>Response validation</t>
  </si>
  <si>
    <t>Serialization &amp; Deserialization</t>
  </si>
  <si>
    <t>Data driven API tests</t>
  </si>
  <si>
    <t>Scalable tests</t>
  </si>
  <si>
    <t>API Framework</t>
  </si>
  <si>
    <t>Maven structure</t>
  </si>
  <si>
    <t>Framework design</t>
  </si>
  <si>
    <t>Request &amp; Response specs</t>
  </si>
  <si>
    <t>Reusable code</t>
  </si>
  <si>
    <t>TestNG integration</t>
  </si>
  <si>
    <t>Test execution</t>
  </si>
  <si>
    <t>End-to-end API framework</t>
  </si>
  <si>
    <t>API confidence</t>
  </si>
  <si>
    <t>Rest &amp; revision</t>
  </si>
  <si>
    <t>Mental reset</t>
  </si>
  <si>
    <t>Git</t>
  </si>
  <si>
    <t>Git basics &amp; commands</t>
  </si>
  <si>
    <t>Version control</t>
  </si>
  <si>
    <t>Branching &amp; merging</t>
  </si>
  <si>
    <t>Team collaboration</t>
  </si>
  <si>
    <t>Jenkins</t>
  </si>
  <si>
    <t>Jenkins setup &amp; jobs</t>
  </si>
  <si>
    <t>CI basics</t>
  </si>
  <si>
    <t>Integrate Selenium &amp; API</t>
  </si>
  <si>
    <t>CI execution</t>
  </si>
  <si>
    <t>CI/CD</t>
  </si>
  <si>
    <t>Scheduled &amp; parameterized jobs</t>
  </si>
  <si>
    <t>Automation pipeline</t>
  </si>
  <si>
    <t>Complete CI flow</t>
  </si>
  <si>
    <t>Industry readiness</t>
  </si>
  <si>
    <t>Light practice</t>
  </si>
  <si>
    <t>Avoid fatigue</t>
  </si>
  <si>
    <t>Functional Testing</t>
  </si>
  <si>
    <t>SDLC, STLC, Test types</t>
  </si>
  <si>
    <t>Testing fundamentals</t>
  </si>
  <si>
    <t>Test case design techniques</t>
  </si>
  <si>
    <t>Quality thinking</t>
  </si>
  <si>
    <t>Team Handling</t>
  </si>
  <si>
    <t>Conflict handling &amp; leadership</t>
  </si>
  <si>
    <t>Behavioral readiness</t>
  </si>
  <si>
    <t>Client &amp; production issues</t>
  </si>
  <si>
    <t>Real-world scenarios</t>
  </si>
  <si>
    <t>AI Testing</t>
  </si>
  <si>
    <t>AI testing concepts</t>
  </si>
  <si>
    <t>Modern testing</t>
  </si>
  <si>
    <t>AI tools in automation</t>
  </si>
  <si>
    <t>Future readiness</t>
  </si>
  <si>
    <t>Revision</t>
  </si>
  <si>
    <t>Mock interviews &amp; confidence</t>
  </si>
  <si>
    <t>Interview ready</t>
  </si>
  <si>
    <t>Date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</si>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</sst>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1" fillId="2" borderId="0" xfId="0" applyFont="1" applyFill="1" applyBorder="1" applyAlignment="1"/>
    <xf numFmtId="0" fontId="0" fillId="0" borderId="0" xfId="0" applyBorder="1" applyAlignment="1"/>
    <xf numFmtId="0" fontId="0" fillId="0" borderId="1" xfId="0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workbookViewId="0">
      <selection activeCell="M7" sqref="M7"/>
    </sheetView>
  </sheetViews>
  <sheetFormatPr defaultRowHeight="14.4" x14ac:dyDescent="0.3"/>
  <cols>
    <col min="1" max="1" width="8.88671875" style="2"/>
    <col min="2" max="2" width="11.21875" style="1" customWidth="1"/>
    <col min="3" max="3" width="30.6640625" style="1" bestFit="1" customWidth="1"/>
    <col min="4" max="4" width="20" style="1" bestFit="1" customWidth="1"/>
    <col min="5" max="5" width="7.109375" style="1" bestFit="1" customWidth="1"/>
    <col min="6" max="6" width="6.44140625" style="1" bestFit="1" customWidth="1"/>
    <col min="7" max="7" width="8.44140625" style="1" bestFit="1" customWidth="1"/>
    <col min="8" max="8" width="20" style="1" customWidth="1"/>
    <col min="9" max="9" width="15.77734375" style="1" bestFit="1" customWidth="1"/>
    <col min="10" max="10" width="13.6640625" style="2" customWidth="1"/>
    <col min="11" max="16384" width="8.88671875" style="1"/>
  </cols>
  <sheetData>
    <row r="1" spans="1:10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140</v>
      </c>
      <c r="F1" s="4" t="s">
        <v>0</v>
      </c>
      <c r="G1" s="4" t="s">
        <v>141</v>
      </c>
      <c r="H1" s="7"/>
    </row>
    <row r="2" spans="1:10" x14ac:dyDescent="0.3">
      <c r="A2" s="5">
        <v>1</v>
      </c>
      <c r="B2" s="6" t="s">
        <v>4</v>
      </c>
      <c r="C2" s="6" t="s">
        <v>5</v>
      </c>
      <c r="D2" s="6" t="s">
        <v>6</v>
      </c>
      <c r="E2" s="6"/>
      <c r="F2" s="6"/>
      <c r="G2" s="6"/>
      <c r="H2" s="8"/>
    </row>
    <row r="3" spans="1:10" x14ac:dyDescent="0.3">
      <c r="A3" s="5">
        <v>2</v>
      </c>
      <c r="B3" s="6" t="s">
        <v>4</v>
      </c>
      <c r="C3" s="6" t="s">
        <v>7</v>
      </c>
      <c r="D3" s="6" t="s">
        <v>8</v>
      </c>
      <c r="E3" s="6"/>
      <c r="F3" s="6"/>
      <c r="G3" s="6"/>
      <c r="H3" s="8"/>
    </row>
    <row r="4" spans="1:10" x14ac:dyDescent="0.3">
      <c r="A4" s="5">
        <v>3</v>
      </c>
      <c r="B4" s="6" t="s">
        <v>4</v>
      </c>
      <c r="C4" s="6" t="s">
        <v>9</v>
      </c>
      <c r="D4" s="6" t="s">
        <v>10</v>
      </c>
      <c r="E4" s="6"/>
      <c r="F4" s="6"/>
      <c r="G4" s="6"/>
      <c r="H4" s="6"/>
      <c r="I4" s="9" t="s">
        <v>4</v>
      </c>
      <c r="J4" s="5">
        <f>COUNTIF(B:B,"Core Java")</f>
        <v>15</v>
      </c>
    </row>
    <row r="5" spans="1:10" x14ac:dyDescent="0.3">
      <c r="A5" s="5">
        <v>4</v>
      </c>
      <c r="B5" s="6" t="s">
        <v>4</v>
      </c>
      <c r="C5" s="6" t="s">
        <v>11</v>
      </c>
      <c r="D5" s="6" t="s">
        <v>12</v>
      </c>
      <c r="E5" s="6"/>
      <c r="F5" s="6"/>
      <c r="G5" s="6"/>
      <c r="H5" s="6"/>
      <c r="I5" s="9" t="s">
        <v>38</v>
      </c>
      <c r="J5" s="5">
        <f>COUNTIF(B:B,"Selenium")</f>
        <v>6</v>
      </c>
    </row>
    <row r="6" spans="1:10" x14ac:dyDescent="0.3">
      <c r="A6" s="5">
        <v>5</v>
      </c>
      <c r="B6" s="6" t="s">
        <v>4</v>
      </c>
      <c r="C6" s="6" t="s">
        <v>13</v>
      </c>
      <c r="D6" s="6" t="s">
        <v>14</v>
      </c>
      <c r="E6" s="6"/>
      <c r="F6" s="6"/>
      <c r="G6" s="6"/>
      <c r="H6" s="6"/>
      <c r="I6" s="9" t="s">
        <v>51</v>
      </c>
      <c r="J6" s="5">
        <f>COUNTIF(B:B,"TestNG")</f>
        <v>2</v>
      </c>
    </row>
    <row r="7" spans="1:10" x14ac:dyDescent="0.3">
      <c r="A7" s="5">
        <v>6</v>
      </c>
      <c r="B7" s="6" t="s">
        <v>4</v>
      </c>
      <c r="C7" s="6" t="s">
        <v>15</v>
      </c>
      <c r="D7" s="6" t="s">
        <v>16</v>
      </c>
      <c r="E7" s="6"/>
      <c r="F7" s="6"/>
      <c r="G7" s="6"/>
      <c r="H7" s="6"/>
      <c r="I7" s="9" t="s">
        <v>56</v>
      </c>
      <c r="J7" s="5">
        <f>COUNTIF(B:B,"BDD")</f>
        <v>3</v>
      </c>
    </row>
    <row r="8" spans="1:10" x14ac:dyDescent="0.3">
      <c r="A8" s="5">
        <v>7</v>
      </c>
      <c r="B8" s="6" t="s">
        <v>4</v>
      </c>
      <c r="C8" s="6" t="s">
        <v>17</v>
      </c>
      <c r="D8" s="6" t="s">
        <v>18</v>
      </c>
      <c r="E8" s="6"/>
      <c r="F8" s="6"/>
      <c r="G8" s="6"/>
      <c r="H8" s="6"/>
      <c r="I8" s="6" t="s">
        <v>63</v>
      </c>
      <c r="J8" s="5">
        <f>COUNTIF(B:B,"Framework")</f>
        <v>5</v>
      </c>
    </row>
    <row r="9" spans="1:10" x14ac:dyDescent="0.3">
      <c r="A9" s="5">
        <v>8</v>
      </c>
      <c r="B9" s="6" t="s">
        <v>4</v>
      </c>
      <c r="C9" s="6" t="s">
        <v>19</v>
      </c>
      <c r="D9" s="6" t="s">
        <v>20</v>
      </c>
      <c r="E9" s="6"/>
      <c r="F9" s="6"/>
      <c r="G9" s="6"/>
      <c r="H9" s="6"/>
      <c r="I9" s="6" t="s">
        <v>35</v>
      </c>
      <c r="J9" s="5">
        <f>COUNTIF(B:B,"Gap Day")</f>
        <v>4</v>
      </c>
    </row>
    <row r="10" spans="1:10" x14ac:dyDescent="0.3">
      <c r="A10" s="5">
        <v>9</v>
      </c>
      <c r="B10" s="6" t="s">
        <v>4</v>
      </c>
      <c r="C10" s="6" t="s">
        <v>21</v>
      </c>
      <c r="D10" s="6" t="s">
        <v>22</v>
      </c>
      <c r="E10" s="6"/>
      <c r="F10" s="6"/>
      <c r="G10" s="6"/>
      <c r="H10" s="6"/>
      <c r="I10" s="6" t="s">
        <v>76</v>
      </c>
      <c r="J10" s="5">
        <f>COUNTIF(B:B,"API")</f>
        <v>1</v>
      </c>
    </row>
    <row r="11" spans="1:10" x14ac:dyDescent="0.3">
      <c r="A11" s="5">
        <v>10</v>
      </c>
      <c r="B11" s="6" t="s">
        <v>4</v>
      </c>
      <c r="C11" s="6" t="s">
        <v>23</v>
      </c>
      <c r="D11" s="6" t="s">
        <v>24</v>
      </c>
      <c r="E11" s="6"/>
      <c r="F11" s="6"/>
      <c r="G11" s="6"/>
      <c r="H11" s="6"/>
      <c r="I11" s="6" t="s">
        <v>79</v>
      </c>
      <c r="J11" s="5">
        <f>COUNTIF(B:B,"Postman")</f>
        <v>2</v>
      </c>
    </row>
    <row r="12" spans="1:10" x14ac:dyDescent="0.3">
      <c r="A12" s="5">
        <v>11</v>
      </c>
      <c r="B12" s="6" t="s">
        <v>4</v>
      </c>
      <c r="C12" s="6" t="s">
        <v>25</v>
      </c>
      <c r="D12" s="6" t="s">
        <v>26</v>
      </c>
      <c r="E12" s="6"/>
      <c r="F12" s="6"/>
      <c r="G12" s="6"/>
      <c r="H12" s="6"/>
      <c r="I12" s="6" t="s">
        <v>84</v>
      </c>
      <c r="J12" s="5">
        <f>COUNTIF(B:B,"Rest Assured")</f>
        <v>5</v>
      </c>
    </row>
    <row r="13" spans="1:10" x14ac:dyDescent="0.3">
      <c r="A13" s="5">
        <v>12</v>
      </c>
      <c r="B13" s="6" t="s">
        <v>4</v>
      </c>
      <c r="C13" s="6" t="s">
        <v>27</v>
      </c>
      <c r="D13" s="6" t="s">
        <v>28</v>
      </c>
      <c r="E13" s="6"/>
      <c r="F13" s="6"/>
      <c r="G13" s="6"/>
      <c r="H13" s="6"/>
      <c r="I13" s="6" t="s">
        <v>94</v>
      </c>
      <c r="J13" s="5">
        <f>COUNTIF(B:B,"API Framework")</f>
        <v>4</v>
      </c>
    </row>
    <row r="14" spans="1:10" x14ac:dyDescent="0.3">
      <c r="A14" s="5">
        <v>13</v>
      </c>
      <c r="B14" s="6" t="s">
        <v>4</v>
      </c>
      <c r="C14" s="6" t="s">
        <v>29</v>
      </c>
      <c r="D14" s="6" t="s">
        <v>30</v>
      </c>
      <c r="E14" s="6"/>
      <c r="F14" s="6"/>
      <c r="G14" s="6"/>
      <c r="H14" s="6"/>
      <c r="I14" s="6" t="s">
        <v>105</v>
      </c>
      <c r="J14" s="5">
        <f>COUNTIF(B:B,"Git")</f>
        <v>2</v>
      </c>
    </row>
    <row r="15" spans="1:10" x14ac:dyDescent="0.3">
      <c r="A15" s="5">
        <v>14</v>
      </c>
      <c r="B15" s="6" t="s">
        <v>4</v>
      </c>
      <c r="C15" s="6" t="s">
        <v>31</v>
      </c>
      <c r="D15" s="6" t="s">
        <v>32</v>
      </c>
      <c r="E15" s="6"/>
      <c r="F15" s="6"/>
      <c r="G15" s="6"/>
      <c r="H15" s="6"/>
      <c r="I15" s="6" t="s">
        <v>110</v>
      </c>
      <c r="J15" s="5">
        <f>COUNTIF(B:B,"Jenkins")</f>
        <v>2</v>
      </c>
    </row>
    <row r="16" spans="1:10" x14ac:dyDescent="0.3">
      <c r="A16" s="5">
        <v>15</v>
      </c>
      <c r="B16" s="6" t="s">
        <v>4</v>
      </c>
      <c r="C16" s="6" t="s">
        <v>33</v>
      </c>
      <c r="D16" s="6" t="s">
        <v>34</v>
      </c>
      <c r="E16" s="6"/>
      <c r="F16" s="6"/>
      <c r="G16" s="6"/>
      <c r="H16" s="6"/>
      <c r="I16" s="6" t="s">
        <v>115</v>
      </c>
      <c r="J16" s="5">
        <f>COUNTIF(B:B,"CI/CD")</f>
        <v>2</v>
      </c>
    </row>
    <row r="17" spans="1:10" x14ac:dyDescent="0.3">
      <c r="A17" s="5">
        <v>16</v>
      </c>
      <c r="B17" s="6" t="s">
        <v>35</v>
      </c>
      <c r="C17" s="6" t="s">
        <v>36</v>
      </c>
      <c r="D17" s="6" t="s">
        <v>37</v>
      </c>
      <c r="E17" s="6"/>
      <c r="F17" s="6"/>
      <c r="G17" s="6"/>
      <c r="H17" s="6"/>
      <c r="I17" s="6" t="s">
        <v>122</v>
      </c>
      <c r="J17" s="5">
        <f>COUNTIF(B:B,"Functional Testing")</f>
        <v>2</v>
      </c>
    </row>
    <row r="18" spans="1:10" x14ac:dyDescent="0.3">
      <c r="A18" s="5">
        <v>17</v>
      </c>
      <c r="B18" s="6" t="s">
        <v>38</v>
      </c>
      <c r="C18" s="6" t="s">
        <v>39</v>
      </c>
      <c r="D18" s="6" t="s">
        <v>40</v>
      </c>
      <c r="E18" s="6"/>
      <c r="F18" s="6"/>
      <c r="G18" s="6"/>
      <c r="H18" s="6"/>
      <c r="I18" s="6" t="s">
        <v>127</v>
      </c>
      <c r="J18" s="5">
        <f>COUNTIF(B:B,"Team Handling")</f>
        <v>2</v>
      </c>
    </row>
    <row r="19" spans="1:10" x14ac:dyDescent="0.3">
      <c r="A19" s="5">
        <v>18</v>
      </c>
      <c r="B19" s="6" t="s">
        <v>38</v>
      </c>
      <c r="C19" s="6" t="s">
        <v>41</v>
      </c>
      <c r="D19" s="6" t="s">
        <v>42</v>
      </c>
      <c r="E19" s="6"/>
      <c r="F19" s="6"/>
      <c r="G19" s="6"/>
      <c r="H19" s="6"/>
      <c r="I19" s="6" t="s">
        <v>132</v>
      </c>
      <c r="J19" s="5">
        <f>COUNTIF(B:B,"AI Testing")</f>
        <v>2</v>
      </c>
    </row>
    <row r="20" spans="1:10" x14ac:dyDescent="0.3">
      <c r="A20" s="5">
        <v>19</v>
      </c>
      <c r="B20" s="6" t="s">
        <v>38</v>
      </c>
      <c r="C20" s="6" t="s">
        <v>43</v>
      </c>
      <c r="D20" s="6" t="s">
        <v>44</v>
      </c>
      <c r="E20" s="6"/>
      <c r="F20" s="6"/>
      <c r="G20" s="6"/>
      <c r="H20" s="6"/>
      <c r="I20" s="6" t="s">
        <v>137</v>
      </c>
      <c r="J20" s="5">
        <f>COUNTIF(B:B,"Revision")</f>
        <v>1</v>
      </c>
    </row>
    <row r="21" spans="1:10" x14ac:dyDescent="0.3">
      <c r="A21" s="5">
        <v>20</v>
      </c>
      <c r="B21" s="6" t="s">
        <v>38</v>
      </c>
      <c r="C21" s="6" t="s">
        <v>45</v>
      </c>
      <c r="D21" s="6" t="s">
        <v>46</v>
      </c>
      <c r="E21" s="6"/>
      <c r="F21" s="6"/>
      <c r="G21" s="6"/>
      <c r="H21" s="8"/>
    </row>
    <row r="22" spans="1:10" x14ac:dyDescent="0.3">
      <c r="A22" s="5">
        <v>21</v>
      </c>
      <c r="B22" s="6" t="s">
        <v>38</v>
      </c>
      <c r="C22" s="6" t="s">
        <v>47</v>
      </c>
      <c r="D22" s="6" t="s">
        <v>48</v>
      </c>
      <c r="E22" s="6"/>
      <c r="F22" s="6"/>
      <c r="G22" s="6"/>
      <c r="H22" s="8"/>
    </row>
    <row r="23" spans="1:10" x14ac:dyDescent="0.3">
      <c r="A23" s="5">
        <v>22</v>
      </c>
      <c r="B23" s="6" t="s">
        <v>38</v>
      </c>
      <c r="C23" s="6" t="s">
        <v>49</v>
      </c>
      <c r="D23" s="6" t="s">
        <v>50</v>
      </c>
      <c r="E23" s="6"/>
      <c r="F23" s="6"/>
      <c r="G23" s="6"/>
      <c r="H23" s="8"/>
    </row>
    <row r="24" spans="1:10" x14ac:dyDescent="0.3">
      <c r="A24" s="5">
        <v>23</v>
      </c>
      <c r="B24" s="6" t="s">
        <v>51</v>
      </c>
      <c r="C24" s="6" t="s">
        <v>52</v>
      </c>
      <c r="D24" s="6" t="s">
        <v>53</v>
      </c>
      <c r="E24" s="6"/>
      <c r="F24" s="6"/>
      <c r="G24" s="6"/>
      <c r="H24" s="8"/>
    </row>
    <row r="25" spans="1:10" x14ac:dyDescent="0.3">
      <c r="A25" s="5">
        <v>24</v>
      </c>
      <c r="B25" s="6" t="s">
        <v>51</v>
      </c>
      <c r="C25" s="6" t="s">
        <v>54</v>
      </c>
      <c r="D25" s="6" t="s">
        <v>55</v>
      </c>
      <c r="E25" s="6"/>
      <c r="F25" s="6"/>
      <c r="G25" s="6"/>
      <c r="H25" s="8"/>
    </row>
    <row r="26" spans="1:10" x14ac:dyDescent="0.3">
      <c r="A26" s="5">
        <v>25</v>
      </c>
      <c r="B26" s="6" t="s">
        <v>56</v>
      </c>
      <c r="C26" s="6" t="s">
        <v>57</v>
      </c>
      <c r="D26" s="6" t="s">
        <v>58</v>
      </c>
      <c r="E26" s="6"/>
      <c r="F26" s="6"/>
      <c r="G26" s="6"/>
      <c r="H26" s="8"/>
    </row>
    <row r="27" spans="1:10" x14ac:dyDescent="0.3">
      <c r="A27" s="5">
        <v>26</v>
      </c>
      <c r="B27" s="6" t="s">
        <v>56</v>
      </c>
      <c r="C27" s="6" t="s">
        <v>59</v>
      </c>
      <c r="D27" s="6" t="s">
        <v>60</v>
      </c>
      <c r="E27" s="6"/>
      <c r="F27" s="6"/>
      <c r="G27" s="6"/>
      <c r="H27" s="8"/>
    </row>
    <row r="28" spans="1:10" x14ac:dyDescent="0.3">
      <c r="A28" s="5">
        <v>27</v>
      </c>
      <c r="B28" s="6" t="s">
        <v>56</v>
      </c>
      <c r="C28" s="6" t="s">
        <v>61</v>
      </c>
      <c r="D28" s="6" t="s">
        <v>62</v>
      </c>
      <c r="E28" s="6"/>
      <c r="F28" s="6"/>
      <c r="G28" s="6"/>
      <c r="H28" s="8"/>
    </row>
    <row r="29" spans="1:10" x14ac:dyDescent="0.3">
      <c r="A29" s="5">
        <v>28</v>
      </c>
      <c r="B29" s="6" t="s">
        <v>63</v>
      </c>
      <c r="C29" s="6" t="s">
        <v>64</v>
      </c>
      <c r="D29" s="6" t="s">
        <v>65</v>
      </c>
      <c r="E29" s="6"/>
      <c r="F29" s="6"/>
      <c r="G29" s="6"/>
      <c r="H29" s="8"/>
    </row>
    <row r="30" spans="1:10" x14ac:dyDescent="0.3">
      <c r="A30" s="5">
        <v>29</v>
      </c>
      <c r="B30" s="6" t="s">
        <v>63</v>
      </c>
      <c r="C30" s="6" t="s">
        <v>66</v>
      </c>
      <c r="D30" s="6" t="s">
        <v>67</v>
      </c>
      <c r="E30" s="6"/>
      <c r="F30" s="6"/>
      <c r="G30" s="6"/>
      <c r="H30" s="8"/>
    </row>
    <row r="31" spans="1:10" x14ac:dyDescent="0.3">
      <c r="A31" s="5">
        <v>30</v>
      </c>
      <c r="B31" s="6" t="s">
        <v>63</v>
      </c>
      <c r="C31" s="6" t="s">
        <v>68</v>
      </c>
      <c r="D31" s="6" t="s">
        <v>69</v>
      </c>
      <c r="E31" s="6"/>
      <c r="F31" s="6"/>
      <c r="G31" s="6"/>
      <c r="H31" s="8"/>
    </row>
    <row r="32" spans="1:10" x14ac:dyDescent="0.3">
      <c r="A32" s="5">
        <v>31</v>
      </c>
      <c r="B32" s="6" t="s">
        <v>63</v>
      </c>
      <c r="C32" s="6" t="s">
        <v>70</v>
      </c>
      <c r="D32" s="6" t="s">
        <v>71</v>
      </c>
      <c r="E32" s="6"/>
      <c r="F32" s="6"/>
      <c r="G32" s="6"/>
      <c r="H32" s="8"/>
    </row>
    <row r="33" spans="1:8" x14ac:dyDescent="0.3">
      <c r="A33" s="5">
        <v>32</v>
      </c>
      <c r="B33" s="6" t="s">
        <v>63</v>
      </c>
      <c r="C33" s="6" t="s">
        <v>72</v>
      </c>
      <c r="D33" s="6" t="s">
        <v>73</v>
      </c>
      <c r="E33" s="6"/>
      <c r="F33" s="6"/>
      <c r="G33" s="6"/>
      <c r="H33" s="8"/>
    </row>
    <row r="34" spans="1:8" x14ac:dyDescent="0.3">
      <c r="A34" s="5">
        <v>33</v>
      </c>
      <c r="B34" s="6" t="s">
        <v>35</v>
      </c>
      <c r="C34" s="6" t="s">
        <v>74</v>
      </c>
      <c r="D34" s="6" t="s">
        <v>75</v>
      </c>
      <c r="E34" s="6"/>
      <c r="F34" s="6"/>
      <c r="G34" s="6"/>
      <c r="H34" s="8"/>
    </row>
    <row r="35" spans="1:8" x14ac:dyDescent="0.3">
      <c r="A35" s="5">
        <v>34</v>
      </c>
      <c r="B35" s="6" t="s">
        <v>76</v>
      </c>
      <c r="C35" s="6" t="s">
        <v>77</v>
      </c>
      <c r="D35" s="6" t="s">
        <v>78</v>
      </c>
      <c r="E35" s="6"/>
      <c r="F35" s="6"/>
      <c r="G35" s="6"/>
      <c r="H35" s="8"/>
    </row>
    <row r="36" spans="1:8" x14ac:dyDescent="0.3">
      <c r="A36" s="5">
        <v>35</v>
      </c>
      <c r="B36" s="6" t="s">
        <v>79</v>
      </c>
      <c r="C36" s="6" t="s">
        <v>80</v>
      </c>
      <c r="D36" s="6" t="s">
        <v>81</v>
      </c>
      <c r="E36" s="6"/>
      <c r="F36" s="6"/>
      <c r="G36" s="6"/>
      <c r="H36" s="8"/>
    </row>
    <row r="37" spans="1:8" x14ac:dyDescent="0.3">
      <c r="A37" s="5">
        <v>36</v>
      </c>
      <c r="B37" s="6" t="s">
        <v>79</v>
      </c>
      <c r="C37" s="6" t="s">
        <v>82</v>
      </c>
      <c r="D37" s="6" t="s">
        <v>83</v>
      </c>
      <c r="E37" s="6"/>
      <c r="F37" s="6"/>
      <c r="G37" s="6"/>
      <c r="H37" s="8"/>
    </row>
    <row r="38" spans="1:8" x14ac:dyDescent="0.3">
      <c r="A38" s="5">
        <v>37</v>
      </c>
      <c r="B38" s="6" t="s">
        <v>84</v>
      </c>
      <c r="C38" s="6" t="s">
        <v>85</v>
      </c>
      <c r="D38" s="6" t="s">
        <v>86</v>
      </c>
      <c r="E38" s="6"/>
      <c r="F38" s="6"/>
      <c r="G38" s="6"/>
      <c r="H38" s="8"/>
    </row>
    <row r="39" spans="1:8" x14ac:dyDescent="0.3">
      <c r="A39" s="5">
        <v>38</v>
      </c>
      <c r="B39" s="6" t="s">
        <v>84</v>
      </c>
      <c r="C39" s="6" t="s">
        <v>87</v>
      </c>
      <c r="D39" s="6" t="s">
        <v>88</v>
      </c>
      <c r="E39" s="6"/>
      <c r="F39" s="6"/>
      <c r="G39" s="6"/>
      <c r="H39" s="8"/>
    </row>
    <row r="40" spans="1:8" x14ac:dyDescent="0.3">
      <c r="A40" s="5">
        <v>39</v>
      </c>
      <c r="B40" s="6" t="s">
        <v>84</v>
      </c>
      <c r="C40" s="6" t="s">
        <v>89</v>
      </c>
      <c r="D40" s="6" t="s">
        <v>90</v>
      </c>
      <c r="E40" s="6"/>
      <c r="F40" s="6"/>
      <c r="G40" s="6"/>
      <c r="H40" s="8"/>
    </row>
    <row r="41" spans="1:8" x14ac:dyDescent="0.3">
      <c r="A41" s="5">
        <v>40</v>
      </c>
      <c r="B41" s="6" t="s">
        <v>84</v>
      </c>
      <c r="C41" s="6" t="s">
        <v>91</v>
      </c>
      <c r="D41" s="6" t="s">
        <v>48</v>
      </c>
      <c r="E41" s="6"/>
      <c r="F41" s="6"/>
      <c r="G41" s="6"/>
      <c r="H41" s="8"/>
    </row>
    <row r="42" spans="1:8" x14ac:dyDescent="0.3">
      <c r="A42" s="5">
        <v>41</v>
      </c>
      <c r="B42" s="6" t="s">
        <v>84</v>
      </c>
      <c r="C42" s="6" t="s">
        <v>92</v>
      </c>
      <c r="D42" s="6" t="s">
        <v>93</v>
      </c>
      <c r="E42" s="6"/>
      <c r="F42" s="6"/>
      <c r="G42" s="6"/>
      <c r="H42" s="8"/>
    </row>
    <row r="43" spans="1:8" x14ac:dyDescent="0.3">
      <c r="A43" s="5">
        <v>42</v>
      </c>
      <c r="B43" s="6" t="s">
        <v>94</v>
      </c>
      <c r="C43" s="6" t="s">
        <v>95</v>
      </c>
      <c r="D43" s="6" t="s">
        <v>96</v>
      </c>
      <c r="E43" s="6"/>
      <c r="F43" s="6"/>
      <c r="G43" s="6"/>
      <c r="H43" s="8"/>
    </row>
    <row r="44" spans="1:8" x14ac:dyDescent="0.3">
      <c r="A44" s="5">
        <v>43</v>
      </c>
      <c r="B44" s="6" t="s">
        <v>94</v>
      </c>
      <c r="C44" s="6" t="s">
        <v>97</v>
      </c>
      <c r="D44" s="6" t="s">
        <v>98</v>
      </c>
      <c r="E44" s="6"/>
      <c r="F44" s="6"/>
      <c r="G44" s="6"/>
      <c r="H44" s="8"/>
    </row>
    <row r="45" spans="1:8" x14ac:dyDescent="0.3">
      <c r="A45" s="5">
        <v>44</v>
      </c>
      <c r="B45" s="6" t="s">
        <v>94</v>
      </c>
      <c r="C45" s="6" t="s">
        <v>99</v>
      </c>
      <c r="D45" s="6" t="s">
        <v>100</v>
      </c>
      <c r="E45" s="6"/>
      <c r="F45" s="6"/>
      <c r="G45" s="6"/>
      <c r="H45" s="8"/>
    </row>
    <row r="46" spans="1:8" x14ac:dyDescent="0.3">
      <c r="A46" s="5">
        <v>45</v>
      </c>
      <c r="B46" s="6" t="s">
        <v>94</v>
      </c>
      <c r="C46" s="6" t="s">
        <v>101</v>
      </c>
      <c r="D46" s="6" t="s">
        <v>102</v>
      </c>
      <c r="E46" s="6"/>
      <c r="F46" s="6"/>
      <c r="G46" s="6"/>
      <c r="H46" s="8"/>
    </row>
    <row r="47" spans="1:8" x14ac:dyDescent="0.3">
      <c r="A47" s="5">
        <v>46</v>
      </c>
      <c r="B47" s="6" t="s">
        <v>35</v>
      </c>
      <c r="C47" s="6" t="s">
        <v>103</v>
      </c>
      <c r="D47" s="6" t="s">
        <v>104</v>
      </c>
      <c r="E47" s="6"/>
      <c r="F47" s="6"/>
      <c r="G47" s="6"/>
      <c r="H47" s="8"/>
    </row>
    <row r="48" spans="1:8" x14ac:dyDescent="0.3">
      <c r="A48" s="5">
        <v>47</v>
      </c>
      <c r="B48" s="6" t="s">
        <v>105</v>
      </c>
      <c r="C48" s="6" t="s">
        <v>106</v>
      </c>
      <c r="D48" s="6" t="s">
        <v>107</v>
      </c>
      <c r="E48" s="6"/>
      <c r="F48" s="6"/>
      <c r="G48" s="6"/>
      <c r="H48" s="8"/>
    </row>
    <row r="49" spans="1:8" x14ac:dyDescent="0.3">
      <c r="A49" s="5">
        <v>48</v>
      </c>
      <c r="B49" s="6" t="s">
        <v>105</v>
      </c>
      <c r="C49" s="6" t="s">
        <v>108</v>
      </c>
      <c r="D49" s="6" t="s">
        <v>109</v>
      </c>
      <c r="E49" s="6"/>
      <c r="F49" s="6"/>
      <c r="G49" s="6"/>
      <c r="H49" s="8"/>
    </row>
    <row r="50" spans="1:8" x14ac:dyDescent="0.3">
      <c r="A50" s="5">
        <v>49</v>
      </c>
      <c r="B50" s="6" t="s">
        <v>110</v>
      </c>
      <c r="C50" s="6" t="s">
        <v>111</v>
      </c>
      <c r="D50" s="6" t="s">
        <v>112</v>
      </c>
      <c r="E50" s="6"/>
      <c r="F50" s="6"/>
      <c r="G50" s="6"/>
      <c r="H50" s="8"/>
    </row>
    <row r="51" spans="1:8" x14ac:dyDescent="0.3">
      <c r="A51" s="5">
        <v>50</v>
      </c>
      <c r="B51" s="6" t="s">
        <v>110</v>
      </c>
      <c r="C51" s="6" t="s">
        <v>113</v>
      </c>
      <c r="D51" s="6" t="s">
        <v>114</v>
      </c>
      <c r="E51" s="6"/>
      <c r="F51" s="6"/>
      <c r="G51" s="6"/>
      <c r="H51" s="8"/>
    </row>
    <row r="52" spans="1:8" x14ac:dyDescent="0.3">
      <c r="A52" s="5">
        <v>51</v>
      </c>
      <c r="B52" s="6" t="s">
        <v>115</v>
      </c>
      <c r="C52" s="6" t="s">
        <v>116</v>
      </c>
      <c r="D52" s="6" t="s">
        <v>117</v>
      </c>
      <c r="E52" s="6"/>
      <c r="F52" s="6"/>
      <c r="G52" s="6"/>
      <c r="H52" s="8"/>
    </row>
    <row r="53" spans="1:8" x14ac:dyDescent="0.3">
      <c r="A53" s="5">
        <v>52</v>
      </c>
      <c r="B53" s="6" t="s">
        <v>115</v>
      </c>
      <c r="C53" s="6" t="s">
        <v>118</v>
      </c>
      <c r="D53" s="6" t="s">
        <v>119</v>
      </c>
      <c r="E53" s="6"/>
      <c r="F53" s="6"/>
      <c r="G53" s="6"/>
      <c r="H53" s="8"/>
    </row>
    <row r="54" spans="1:8" x14ac:dyDescent="0.3">
      <c r="A54" s="5">
        <v>53</v>
      </c>
      <c r="B54" s="6" t="s">
        <v>35</v>
      </c>
      <c r="C54" s="6" t="s">
        <v>120</v>
      </c>
      <c r="D54" s="6" t="s">
        <v>121</v>
      </c>
      <c r="E54" s="6"/>
      <c r="F54" s="6"/>
      <c r="G54" s="6"/>
      <c r="H54" s="8"/>
    </row>
    <row r="55" spans="1:8" x14ac:dyDescent="0.3">
      <c r="A55" s="5">
        <v>54</v>
      </c>
      <c r="B55" s="6" t="s">
        <v>122</v>
      </c>
      <c r="C55" s="6" t="s">
        <v>123</v>
      </c>
      <c r="D55" s="6" t="s">
        <v>124</v>
      </c>
      <c r="E55" s="6"/>
      <c r="F55" s="6"/>
      <c r="G55" s="6"/>
      <c r="H55" s="8"/>
    </row>
    <row r="56" spans="1:8" x14ac:dyDescent="0.3">
      <c r="A56" s="5">
        <v>55</v>
      </c>
      <c r="B56" s="6" t="s">
        <v>122</v>
      </c>
      <c r="C56" s="6" t="s">
        <v>125</v>
      </c>
      <c r="D56" s="6" t="s">
        <v>126</v>
      </c>
      <c r="E56" s="6"/>
      <c r="F56" s="6"/>
      <c r="G56" s="6"/>
      <c r="H56" s="8"/>
    </row>
    <row r="57" spans="1:8" x14ac:dyDescent="0.3">
      <c r="A57" s="5">
        <v>56</v>
      </c>
      <c r="B57" s="6" t="s">
        <v>127</v>
      </c>
      <c r="C57" s="6" t="s">
        <v>128</v>
      </c>
      <c r="D57" s="6" t="s">
        <v>129</v>
      </c>
      <c r="E57" s="6"/>
      <c r="F57" s="6"/>
      <c r="G57" s="6"/>
      <c r="H57" s="8"/>
    </row>
    <row r="58" spans="1:8" x14ac:dyDescent="0.3">
      <c r="A58" s="5">
        <v>57</v>
      </c>
      <c r="B58" s="6" t="s">
        <v>127</v>
      </c>
      <c r="C58" s="6" t="s">
        <v>130</v>
      </c>
      <c r="D58" s="6" t="s">
        <v>131</v>
      </c>
      <c r="E58" s="6"/>
      <c r="F58" s="6"/>
      <c r="G58" s="6"/>
      <c r="H58" s="8"/>
    </row>
    <row r="59" spans="1:8" x14ac:dyDescent="0.3">
      <c r="A59" s="5">
        <v>58</v>
      </c>
      <c r="B59" s="6" t="s">
        <v>132</v>
      </c>
      <c r="C59" s="6" t="s">
        <v>133</v>
      </c>
      <c r="D59" s="6" t="s">
        <v>134</v>
      </c>
      <c r="E59" s="6"/>
      <c r="F59" s="6"/>
      <c r="G59" s="6"/>
      <c r="H59" s="8"/>
    </row>
    <row r="60" spans="1:8" x14ac:dyDescent="0.3">
      <c r="A60" s="5">
        <v>59</v>
      </c>
      <c r="B60" s="6" t="s">
        <v>132</v>
      </c>
      <c r="C60" s="6" t="s">
        <v>135</v>
      </c>
      <c r="D60" s="6" t="s">
        <v>136</v>
      </c>
      <c r="E60" s="6"/>
      <c r="F60" s="6"/>
      <c r="G60" s="6"/>
      <c r="H60" s="8"/>
    </row>
    <row r="61" spans="1:8" x14ac:dyDescent="0.3">
      <c r="A61" s="5">
        <v>60</v>
      </c>
      <c r="B61" s="6" t="s">
        <v>137</v>
      </c>
      <c r="C61" s="6" t="s">
        <v>138</v>
      </c>
      <c r="D61" s="6" t="s">
        <v>139</v>
      </c>
      <c r="E61" s="6"/>
      <c r="F61" s="6"/>
      <c r="G61" s="6"/>
      <c r="H61" s="8"/>
    </row>
  </sheetData>
  <autoFilter ref="A1:J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 Day SDET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Aneel Kumar</cp:lastModifiedBy>
  <dcterms:created xsi:type="dcterms:W3CDTF">2025-12-16T16:32:49Z</dcterms:created>
  <dcterms:modified xsi:type="dcterms:W3CDTF">2025-12-16T17:23:02Z</dcterms:modified>
</cp:coreProperties>
</file>